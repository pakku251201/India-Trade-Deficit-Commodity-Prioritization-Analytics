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ratheek/Desktop/India Trade and Supply Chain Analytics/Excel/"/>
    </mc:Choice>
  </mc:AlternateContent>
  <xr:revisionPtr revIDLastSave="0" documentId="13_ncr:9_{62D52A80-E161-E040-A258-1419AA96BB09}" xr6:coauthVersionLast="47" xr6:coauthVersionMax="47" xr10:uidLastSave="{00000000-0000-0000-0000-000000000000}"/>
  <bookViews>
    <workbookView xWindow="0" yWindow="0" windowWidth="28800" windowHeight="18000" xr2:uid="{8E0240E8-57FB-794A-A667-0776FE146D37}"/>
  </bookViews>
  <sheets>
    <sheet name="Raw_Data" sheetId="1" r:id="rId1"/>
    <sheet name="Data_Profile" sheetId="2" r:id="rId2"/>
    <sheet name="Business_Analysis" sheetId="3" r:id="rId3"/>
    <sheet name="Trade_Data_Clean" sheetId="4" r:id="rId4"/>
    <sheet name="Pivot_Trade_Flow" sheetId="6" r:id="rId5"/>
    <sheet name="Sheet1" sheetId="7" r:id="rId6"/>
    <sheet name="Pivot_Net_Trade" sheetId="8" r:id="rId7"/>
  </sheets>
  <definedNames>
    <definedName name="ExternalData_1" localSheetId="3" hidden="1">Trade_Data_Clean!$A$1:$L$11</definedName>
  </definedNames>
  <calcPr calcId="191029"/>
  <pivotCaches>
    <pivotCache cacheId="23" r:id="rId8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12" i="2" l="1"/>
  <c r="B11" i="2"/>
  <c r="B10" i="2"/>
  <c r="B9" i="2"/>
  <c r="B8" i="2"/>
  <c r="B4" i="3"/>
  <c r="C4" i="3"/>
  <c r="B5" i="3"/>
  <c r="C5" i="3"/>
  <c r="B6" i="3"/>
  <c r="C6" i="3"/>
  <c r="B7" i="3"/>
  <c r="C7" i="3"/>
  <c r="C3" i="3"/>
  <c r="B3" i="3"/>
  <c r="B7" i="2"/>
  <c r="B6" i="2"/>
  <c r="B5" i="2"/>
  <c r="B4" i="2"/>
  <c r="B3" i="2"/>
  <c r="F6" i="3" l="1"/>
  <c r="E5" i="3"/>
  <c r="E7" i="3"/>
  <c r="E4" i="3"/>
  <c r="F5" i="3"/>
  <c r="F7" i="3"/>
  <c r="E6" i="3"/>
  <c r="D3" i="3"/>
  <c r="F4" i="3"/>
  <c r="D6" i="3"/>
  <c r="D4" i="3"/>
  <c r="D5" i="3"/>
  <c r="D7" i="3"/>
</calcChain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53552439-C4E8-E949-93D2-35FAFB8D7D51}" keepAlive="1" name="Query - Trade_Data_Clean" description="Connection to the 'Trade_Data_Clean' query in the workbook." type="5" refreshedVersion="8" background="1" saveData="1">
    <dbPr connection="Provider=Microsoft.Mashup.OleDb.1;Data Source=$Workbook$;Location=Trade_Data_Clean;Extended Properties=&quot;&quot;" command="SELECT * FROM [Trade_Data_Clean]"/>
  </connection>
</connections>
</file>

<file path=xl/sharedStrings.xml><?xml version="1.0" encoding="utf-8"?>
<sst xmlns="http://purl.oclc.org/ooxml/spreadsheetml/main" count="348" uniqueCount="100">
  <si>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</si>
  <si>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</si>
  <si>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</si>
  <si>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</si>
  <si>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</si>
  <si>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</si>
  <si>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</si>
  <si>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</si>
  <si>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</si>
  <si>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</si>
  <si>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</si>
  <si>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</si>
  <si>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</si>
  <si>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</si>
  <si>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</si>
  <si>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</si>
  <si>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</si>
  <si>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</si>
  <si>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</si>
  <si>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</si>
  <si>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</si>
  <si>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</si>
  <si>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</si>
  <si>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</si>
  <si>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</si>
  <si>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</si>
  <si>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</si>
  <si>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</si>
  <si>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</si>
  <si>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</si>
  <si>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</si>
  <si>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</si>
  <si>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</si>
  <si>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</si>
  <si>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</si>
  <si>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</si>
  <si>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</si>
  <si>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</si>
  <si>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</si>
  <si>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</si>
  <si>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</si>
  <si>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</si>
  <si>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</si>
  <si>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</si>
  <si>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</si>
  <si>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</si>
  <si>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</si>
  <si>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</si>
  <si>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</si>
  <si>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IND</t>
  </si>
  <si>
    <t>India</t>
  </si>
  <si>
    <t>M</t>
  </si>
  <si>
    <t>Import</t>
  </si>
  <si>
    <t>W00</t>
  </si>
  <si>
    <t>World</t>
  </si>
  <si>
    <t>H5</t>
  </si>
  <si>
    <t>HS</t>
  </si>
  <si>
    <t>TOTAL</t>
  </si>
  <si>
    <t>All Commodities</t>
  </si>
  <si>
    <t>C00</t>
  </si>
  <si>
    <t>TOTAL CPC</t>
  </si>
  <si>
    <t>TOTAL MOT</t>
  </si>
  <si>
    <t>N/A</t>
  </si>
  <si>
    <t>X</t>
  </si>
  <si>
    <t>Export</t>
  </si>
  <si>
    <t>H6</t>
  </si>
  <si>
    <t>DATA PROFILE</t>
  </si>
  <si>
    <t>Metric</t>
  </si>
  <si>
    <t>Result</t>
  </si>
  <si>
    <t>Total Records</t>
  </si>
  <si>
    <t>Total Columns</t>
  </si>
  <si>
    <t>Unique Years</t>
  </si>
  <si>
    <t>Unique Trade Flows</t>
  </si>
  <si>
    <t>Unique Reporters</t>
  </si>
  <si>
    <t>Year</t>
  </si>
  <si>
    <t>Imports</t>
  </si>
  <si>
    <t>Exports</t>
  </si>
  <si>
    <t>Trade Balance</t>
  </si>
  <si>
    <t>Import YoY %</t>
  </si>
  <si>
    <t>Export YoY %</t>
  </si>
  <si>
    <t>Missing Trade Values</t>
  </si>
  <si>
    <t>Zero Trade Values</t>
  </si>
  <si>
    <t>Blank Net Weight</t>
  </si>
  <si>
    <t>Zero Net Weight</t>
  </si>
  <si>
    <t>Estimated Net Weight</t>
  </si>
  <si>
    <t>Period_Year</t>
  </si>
  <si>
    <t>Reporter_Code</t>
  </si>
  <si>
    <t>Reporter</t>
  </si>
  <si>
    <t>Trade_Flow</t>
  </si>
  <si>
    <t>Partner_Code</t>
  </si>
  <si>
    <t>Partner</t>
  </si>
  <si>
    <t>Classification</t>
  </si>
  <si>
    <t>Commodity</t>
  </si>
  <si>
    <t>Trade_Value_USD</t>
  </si>
  <si>
    <t>Trade_Value_Billion_USD</t>
  </si>
  <si>
    <t>Row Labels</t>
  </si>
  <si>
    <t>Grand Total</t>
  </si>
  <si>
    <t>Column Labels</t>
  </si>
  <si>
    <t>Net_Trade_Billion_USD</t>
  </si>
  <si>
    <t>Sum of Net_Trade_Billion_USD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</si>
</sst>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* #,##0.00_);_(&quot;₹&quot;* \(#,##0.00\);_(&quot;₹&quot;* &quot;-&quot;??_);_(@_)"/>
    <numFmt numFmtId="164" formatCode="_([$$-409]* #,##0.00_);_([$$-409]* \(#,##0.00\);_([$$-409]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3" applyNumberFormat="1" applyFont="1"/>
    <xf numFmtId="2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9" formatCode="0.000"/>
    </dxf>
    <dxf>
      <numFmt numFmtId="2" formatCode="0.00"/>
    </dxf>
    <dxf>
      <numFmt numFmtId="169" formatCode="0.000"/>
    </dxf>
    <dxf>
      <numFmt numFmtId="168" formatCode="0.0000"/>
    </dxf>
    <dxf>
      <numFmt numFmtId="168" formatCode="0.0000"/>
    </dxf>
    <dxf>
      <numFmt numFmtId="167" formatCode="0.00000"/>
    </dxf>
    <dxf>
      <numFmt numFmtId="167" formatCode="0.00000"/>
    </dxf>
    <dxf>
      <numFmt numFmtId="166" formatCode="0.000000"/>
    </dxf>
    <dxf>
      <numFmt numFmtId="166" formatCode="0.000000"/>
    </dxf>
    <dxf>
      <numFmt numFmtId="165" formatCode="0.0000000"/>
    </dxf>
    <dxf>
      <numFmt numFmtId="165" formatCode="0.0000000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pivotCacheDefinition" Target="pivotCache/pivotCacheDefinition1.xml"/><Relationship Id="rId13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connections" Target="connections.xml"/><Relationship Id="rId4" Type="http://purl.oclc.org/ooxml/officeDocument/relationships/worksheet" Target="worksheets/sheet4.xml"/><Relationship Id="rId9" Type="http://purl.oclc.org/ooxml/officeDocument/relationships/theme" Target="theme/theme1.xml"/><Relationship Id="rId14" Type="http://purl.oclc.org/ooxml/officeDocument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[trade_data_profiling.xlsx]Sheet1!PivotTable2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India Trade Flows (2020 - 2024)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Export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Sheet1!$B$5:$B$10</c:f>
              <c:numCache>
                <c:formatCode>0.00</c:formatCode>
                <c:ptCount val="5"/>
                <c:pt idx="0">
                  <c:v>275.48874492754601</c:v>
                </c:pt>
                <c:pt idx="1">
                  <c:v>394.81367334729697</c:v>
                </c:pt>
                <c:pt idx="2">
                  <c:v>452.68421364674703</c:v>
                </c:pt>
                <c:pt idx="3">
                  <c:v>431.41197721129998</c:v>
                </c:pt>
                <c:pt idx="4">
                  <c:v>434.43548421394001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8-354D-83F2-A69F4ADDBC0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Import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Sheet1!$C$5:$C$10</c:f>
              <c:numCache>
                <c:formatCode>0.00</c:formatCode>
                <c:ptCount val="5"/>
                <c:pt idx="0">
                  <c:v>-367.980363479684</c:v>
                </c:pt>
                <c:pt idx="1">
                  <c:v>-570.40200449175495</c:v>
                </c:pt>
                <c:pt idx="2">
                  <c:v>-732.56599339292802</c:v>
                </c:pt>
                <c:pt idx="3">
                  <c:v>-672.14012963588198</c:v>
                </c:pt>
                <c:pt idx="4">
                  <c:v>-697.74512014498396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8-354D-83F2-A69F4ADD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560447"/>
        <c:axId val="1804557759"/>
      </c:lineChart>
      <c:catAx>
        <c:axId val="180456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57759"/>
        <c:crosses val="autoZero"/>
        <c:auto val="1"/>
        <c:lblAlgn val="ctr"/>
        <c:lblOffset val="100"/>
        <c:noMultiLvlLbl val="0"/>
      </c:catAx>
      <c:valAx>
        <c:axId val="180455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6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[trade_data_profiling.xlsx]Pivot_Net_Trade!PivotTable3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Trade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Pivot_Net_Trade!$B$3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Pivot_Net_Trade!$A$4:$A$9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Pivot_Net_Trade!$B$4:$B$9</c:f>
              <c:numCache>
                <c:formatCode>0.00</c:formatCode>
                <c:ptCount val="5"/>
                <c:pt idx="0">
                  <c:v>-92.491618552137993</c:v>
                </c:pt>
                <c:pt idx="1">
                  <c:v>-175.58833114445798</c:v>
                </c:pt>
                <c:pt idx="2">
                  <c:v>-279.881779746181</c:v>
                </c:pt>
                <c:pt idx="3">
                  <c:v>-240.72815242458199</c:v>
                </c:pt>
                <c:pt idx="4">
                  <c:v>-263.30963593104394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4-B84A-9F2F-542839FA1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505855"/>
        <c:axId val="1831504063"/>
      </c:lineChart>
      <c:catAx>
        <c:axId val="183150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04063"/>
        <c:crosses val="autoZero"/>
        <c:auto val="1"/>
        <c:lblAlgn val="ctr"/>
        <c:lblOffset val="100"/>
        <c:noMultiLvlLbl val="0"/>
      </c:catAx>
      <c:valAx>
        <c:axId val="183150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0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4</xdr:col>
      <xdr:colOff>1117600</xdr:colOff>
      <xdr:row>3</xdr:row>
      <xdr:rowOff>0</xdr:rowOff>
    </xdr:from>
    <xdr:to>
      <xdr:col>6</xdr:col>
      <xdr:colOff>1219200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A1F449-F38A-466E-7A35-8899D02C6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2</xdr:col>
      <xdr:colOff>482600</xdr:colOff>
      <xdr:row>1</xdr:row>
      <xdr:rowOff>177800</xdr:rowOff>
    </xdr:from>
    <xdr:to>
      <xdr:col>7</xdr:col>
      <xdr:colOff>215900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FA0C29-0EE0-F81C-DE8D-EEB42D587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Pratheek Rao" refreshedDateIso="2026-09-11T12:50:38.68899978697300275" createdVersion="8" refreshedVersion="8" minRefreshableVersion="3" recordCount="10" xr:uid="{5A39F12D-457B-A749-B33A-E04CD3C2A6AD}">
  <cacheSource type="worksheet">
    <worksheetSource name="Trade_Data_Clean"/>
  </cacheSource>
  <cacheFields count="12"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Period_Year" numFmtId="0">
      <sharedItems containsSemiMixedTypes="0" containsString="0" containsNumber="1" containsInteger="1" minValue="2020" maxValue="2024"/>
    </cacheField>
    <cacheField name="Reporter_Code" numFmtId="0">
      <sharedItems/>
    </cacheField>
    <cacheField name="Reporter" numFmtId="0">
      <sharedItems/>
    </cacheField>
    <cacheField name="Trade_Flow" numFmtId="0">
      <sharedItems count="2">
        <s v="Import"/>
        <s v="Export"/>
      </sharedItems>
    </cacheField>
    <cacheField name="Partner_Code" numFmtId="0">
      <sharedItems/>
    </cacheField>
    <cacheField name="Partner" numFmtId="0">
      <sharedItems/>
    </cacheField>
    <cacheField name="Classification" numFmtId="0">
      <sharedItems/>
    </cacheField>
    <cacheField name="Commodity" numFmtId="0">
      <sharedItems/>
    </cacheField>
    <cacheField name="Trade_Value_USD" numFmtId="164">
      <sharedItems containsSemiMixedTypes="0" containsString="0" containsNumber="1" minValue="275488744927.54602" maxValue="732565993392.92798"/>
    </cacheField>
    <cacheField name="Trade_Value_Billion_USD" numFmtId="164">
      <sharedItems containsSemiMixedTypes="0" containsString="0" containsNumber="1" minValue="275.48874492754601" maxValue="732.56599339292802"/>
    </cacheField>
    <cacheField name="Net_Trade_Billion_USD" numFmtId="0">
      <sharedItems containsSemiMixedTypes="0" containsString="0" containsNumber="1" minValue="-732.56599339292802" maxValue="452.68421364674703" count="10">
        <n v="-367.980363479684"/>
        <n v="275.48874492754601"/>
        <n v="-570.40200449175495"/>
        <n v="394.81367334729697"/>
        <n v="-732.56599339292802"/>
        <n v="452.68421364674703"/>
        <n v="-672.14012963588198"/>
        <n v="431.41197721129998"/>
        <n v="-697.74512014498396"/>
        <n v="434.43548421394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">
  <r>
    <x v="0"/>
    <n v="2020"/>
    <s v="IND"/>
    <s v="India"/>
    <x v="0"/>
    <s v="W00"/>
    <s v="World"/>
    <s v="H5"/>
    <s v="All Commodities"/>
    <n v="367980363479.68402"/>
    <n v="367.980363479684"/>
    <x v="0"/>
  </r>
  <r>
    <x v="0"/>
    <n v="2020"/>
    <s v="IND"/>
    <s v="India"/>
    <x v="1"/>
    <s v="W00"/>
    <s v="World"/>
    <s v="H5"/>
    <s v="All Commodities"/>
    <n v="275488744927.54602"/>
    <n v="275.48874492754601"/>
    <x v="1"/>
  </r>
  <r>
    <x v="1"/>
    <n v="2021"/>
    <s v="IND"/>
    <s v="India"/>
    <x v="0"/>
    <s v="W00"/>
    <s v="World"/>
    <s v="H5"/>
    <s v="All Commodities"/>
    <n v="570402004491.755"/>
    <n v="570.40200449175495"/>
    <x v="2"/>
  </r>
  <r>
    <x v="1"/>
    <n v="2021"/>
    <s v="IND"/>
    <s v="India"/>
    <x v="1"/>
    <s v="W00"/>
    <s v="World"/>
    <s v="H5"/>
    <s v="All Commodities"/>
    <n v="394813673347.297"/>
    <n v="394.81367334729697"/>
    <x v="3"/>
  </r>
  <r>
    <x v="2"/>
    <n v="2022"/>
    <s v="IND"/>
    <s v="India"/>
    <x v="0"/>
    <s v="W00"/>
    <s v="World"/>
    <s v="H6"/>
    <s v="All Commodities"/>
    <n v="732565993392.92798"/>
    <n v="732.56599339292802"/>
    <x v="4"/>
  </r>
  <r>
    <x v="2"/>
    <n v="2022"/>
    <s v="IND"/>
    <s v="India"/>
    <x v="1"/>
    <s v="W00"/>
    <s v="World"/>
    <s v="H6"/>
    <s v="All Commodities"/>
    <n v="452684213646.74701"/>
    <n v="452.68421364674703"/>
    <x v="5"/>
  </r>
  <r>
    <x v="3"/>
    <n v="2023"/>
    <s v="IND"/>
    <s v="India"/>
    <x v="0"/>
    <s v="W00"/>
    <s v="World"/>
    <s v="H6"/>
    <s v="All Commodities"/>
    <n v="672140129635.88196"/>
    <n v="672.14012963588198"/>
    <x v="6"/>
  </r>
  <r>
    <x v="3"/>
    <n v="2023"/>
    <s v="IND"/>
    <s v="India"/>
    <x v="1"/>
    <s v="W00"/>
    <s v="World"/>
    <s v="H6"/>
    <s v="All Commodities"/>
    <n v="431411977211.29999"/>
    <n v="431.41197721129998"/>
    <x v="7"/>
  </r>
  <r>
    <x v="4"/>
    <n v="2024"/>
    <s v="IND"/>
    <s v="India"/>
    <x v="0"/>
    <s v="W00"/>
    <s v="World"/>
    <s v="H6"/>
    <s v="All Commodities"/>
    <n v="697745120144.98401"/>
    <n v="697.74512014498396"/>
    <x v="8"/>
  </r>
  <r>
    <x v="4"/>
    <n v="2024"/>
    <s v="IND"/>
    <s v="India"/>
    <x v="1"/>
    <s v="W00"/>
    <s v="World"/>
    <s v="H6"/>
    <s v="All Commodities"/>
    <n v="434435484213.94"/>
    <n v="434.4354842139400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3628527-B21B-3743-8244-BD2A9E91A990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0" firstHeaderRow="1" firstDataRow="2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Net_Trade_Billion_USD" fld="11" baseField="0" baseItem="0" numFmtId="2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1094F13-BD6A-AC4A-ADB3-0792D36987BE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>
      <items count="11">
        <item x="4"/>
        <item x="8"/>
        <item x="6"/>
        <item x="2"/>
        <item x="0"/>
        <item x="1"/>
        <item x="3"/>
        <item x="7"/>
        <item x="9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_Trade_Billion_USD" fld="11" baseField="0" baseItem="0" numFmtId="2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9050A233-7975-E145-AA0B-8C05FDFE5AB7}" autoFormatId="16" applyNumberFormats="0" applyBorderFormats="0" applyFontFormats="0" applyPatternFormats="0" applyAlignmentFormats="0" applyWidthHeightFormats="0">
  <queryTableRefresh nextId="60">
    <queryTableFields count="12">
      <queryTableField id="48" name="Year" tableColumnId="48"/>
      <queryTableField id="49" name="Period_Year" tableColumnId="49"/>
      <queryTableField id="50" name="Reporter_Code" tableColumnId="50"/>
      <queryTableField id="51" name="Reporter" tableColumnId="51"/>
      <queryTableField id="52" name="Trade_Flow" tableColumnId="52"/>
      <queryTableField id="53" name="Partner_Code" tableColumnId="53"/>
      <queryTableField id="54" name="Partner" tableColumnId="54"/>
      <queryTableField id="55" name="Classification" tableColumnId="55"/>
      <queryTableField id="56" name="Commodity" tableColumnId="56"/>
      <queryTableField id="57" name="Trade_Value_USD" tableColumnId="57"/>
      <queryTableField id="58" name="Trade_Value_Billion_USD" tableColumnId="58"/>
      <queryTableField id="59" name="Net_Trade_Billion_USD" tableColumnId="1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7401D027-5215-B14B-9689-C1BA9E871400}" name="tbl_trade_raw" displayName="tbl_trade_raw" ref="A1:AU11" totalsRowShown="0">
  <autoFilter ref="A1:AU11" xr:uid="{7401D027-5215-B14B-9689-C1BA9E871400}"/>
  <tableColumns count="47">
    <tableColumn id="1" xr3:uid="{C1F0E226-E301-9D44-9A35-62388BFF658B}" name="typeCode"/>
    <tableColumn id="2" xr3:uid="{129D4E5B-C88B-3F48-B76E-7366705C4C31}" name="freqCode"/>
    <tableColumn id="3" xr3:uid="{C410A8D0-4FF6-7243-84C9-1015D4405009}" name="refPeriodId"/>
    <tableColumn id="4" xr3:uid="{05383D63-663C-794F-B1A8-7AB31D10E6AA}" name="refYear"/>
    <tableColumn id="5" xr3:uid="{F18A4CD3-5AA7-E14F-885F-6FEE5DE17435}" name="refMonth"/>
    <tableColumn id="6" xr3:uid="{6D469A49-5B34-E245-B1A5-8282A4AE5C1E}" name="period"/>
    <tableColumn id="7" xr3:uid="{627B72CC-3E06-D845-BFE0-4F7DFF29C9F5}" name="reporterCode"/>
    <tableColumn id="8" xr3:uid="{A1121067-F854-FB45-AAD7-3E4E95DE208C}" name="reporterISO"/>
    <tableColumn id="9" xr3:uid="{424DDED3-8CAE-D046-9679-E6694F60593B}" name="reporterDesc"/>
    <tableColumn id="10" xr3:uid="{529E8D73-C7A0-E64C-85BE-C75652835BD5}" name="flowCode"/>
    <tableColumn id="11" xr3:uid="{B673D361-FC86-B54E-BCC6-484F781C97D3}" name="flowDesc"/>
    <tableColumn id="12" xr3:uid="{0F95BDDE-1ECF-E94E-8FA7-D325DC016A6E}" name="partnerCode"/>
    <tableColumn id="13" xr3:uid="{87F84B9D-415D-0342-8B80-BEC1750F5AE0}" name="partnerISO"/>
    <tableColumn id="14" xr3:uid="{658D0A7A-CBB9-7D41-9F87-EA9B4B6A7AAC}" name="partnerDesc"/>
    <tableColumn id="15" xr3:uid="{B40C765A-6EB3-6648-8DF6-34949CFD0DF1}" name="partner2Code"/>
    <tableColumn id="16" xr3:uid="{A40FBCD6-9D58-A242-8603-3C4A67F66F85}" name="partner2ISO"/>
    <tableColumn id="17" xr3:uid="{F857A0D6-756E-3C49-86AC-234167778B64}" name="partner2Desc"/>
    <tableColumn id="18" xr3:uid="{A66E9036-6441-2F41-9C1C-10B32E378FFC}" name="classificationCode"/>
    <tableColumn id="19" xr3:uid="{BD856756-BEF6-354B-9519-2A28C9D39D8D}" name="classificationSearchCode"/>
    <tableColumn id="20" xr3:uid="{30073346-6406-4D43-B202-17AD6057A771}" name="isOriginalClassification"/>
    <tableColumn id="21" xr3:uid="{DACF30DB-FC0C-9142-954C-507FBE8F2B52}" name="cmdCode"/>
    <tableColumn id="22" xr3:uid="{4CC516FC-8B92-B34A-8880-745DB162B202}" name="cmdDesc"/>
    <tableColumn id="23" xr3:uid="{1935BF6E-0274-4E41-8499-99AF42C62DAE}" name="aggrLevel"/>
    <tableColumn id="24" xr3:uid="{10F63A27-2790-B34F-B73F-C18EDE99FC3A}" name="isLeaf"/>
    <tableColumn id="25" xr3:uid="{9E7C4188-381A-ED4A-92E5-84120086329C}" name="customsCode"/>
    <tableColumn id="26" xr3:uid="{DA27E106-E5E5-004D-B4A1-73457A44B709}" name="customsDesc"/>
    <tableColumn id="27" xr3:uid="{CF020003-1BBF-3A40-A088-0484D7EAD621}" name="mosCode"/>
    <tableColumn id="28" xr3:uid="{FC497DFC-613B-8F46-86F3-BE67FA33F46C}" name="motCode"/>
    <tableColumn id="29" xr3:uid="{AA3B5BB2-BB54-A343-8E31-F65E03F8AA84}" name="motDesc"/>
    <tableColumn id="30" xr3:uid="{BBAB3913-1DB6-BB48-A186-3E586067FED5}" name="qtyUnitCode"/>
    <tableColumn id="31" xr3:uid="{43CCB75A-11E3-CE42-B52D-F5BB9BD6B61A}" name="qtyUnitAbbr"/>
    <tableColumn id="32" xr3:uid="{9C453FB3-81EE-534F-94CC-7081A174DF90}" name="qty"/>
    <tableColumn id="33" xr3:uid="{013813C3-C761-9243-8BA9-21E1F17B30C1}" name="isQtyEstimated"/>
    <tableColumn id="34" xr3:uid="{B2266007-52BF-B74A-8C0D-AC3F2834A708}" name="altQtyUnitCode"/>
    <tableColumn id="35" xr3:uid="{6F737065-5BB3-8B49-BA9F-73736147CF34}" name="altQtyUnitAbbr"/>
    <tableColumn id="36" xr3:uid="{7EE5D74B-1C06-5C48-B182-78A542D9314F}" name="altQty"/>
    <tableColumn id="37" xr3:uid="{87C1C4D1-684F-2744-85EF-98388DC44283}" name="isAltQtyEstimated"/>
    <tableColumn id="38" xr3:uid="{E5C97079-9930-994C-8DDC-AD5E9A04FF53}" name="netWgt"/>
    <tableColumn id="39" xr3:uid="{E5DC186C-D937-1B41-A9EA-C21DDEAC71EF}" name="isNetWgtEstimated"/>
    <tableColumn id="40" xr3:uid="{29DB0CEB-F2A5-9A49-9601-C4870E522B65}" name="grossWgt"/>
    <tableColumn id="41" xr3:uid="{D8FEFE06-AC20-3046-BF82-DD7B4329C41E}" name="isGrossWgtEstimated"/>
    <tableColumn id="42" xr3:uid="{B027DD1F-D590-6543-B567-7FAE3A4F8CE9}" name="cifvalue"/>
    <tableColumn id="43" xr3:uid="{E65D310B-2F62-8940-9A73-A8B9D8F36926}" name="fobvalue"/>
    <tableColumn id="44" xr3:uid="{C107A9B8-4634-4D40-8DDD-4792EA4283DD}" name="primaryValue"/>
    <tableColumn id="45" xr3:uid="{9FC3B8C3-FA80-6C46-97DD-3331431B092C}" name="legacyEstimationFlag"/>
    <tableColumn id="46" xr3:uid="{345EA272-0D1A-AF4F-B9B6-4775433BDA72}" name="isReported"/>
    <tableColumn id="47" xr3:uid="{2170B452-B6F2-3549-B417-A670A9A668F7}" name="isAggregate"/>
  </tableColumns>
  <tableStyleInfo name="TableStyleLight21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F62B680F-24AD-A140-84FF-52BA50F2C738}" name="Table2" displayName="Table2" ref="A2:B12" totalsRowShown="0">
  <autoFilter ref="A2:B12" xr:uid="{F62B680F-24AD-A140-84FF-52BA50F2C738}"/>
  <tableColumns count="2">
    <tableColumn id="1" xr3:uid="{49BB56C4-C833-9E4B-BE5C-C66F86561AF9}" name="Metric"/>
    <tableColumn id="2" xr3:uid="{F9777AC6-BD2B-EC4E-9A5B-9235C19A6933}" name="Result" dataDxfId="24">
      <calculatedColumnFormula>COUNTA(Raw_Data!A:A)-1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4" xr:uid="{34D0C667-3257-D949-BB50-0C2CDAAFDE77}" name="Business_Analysis_Table" displayName="Business_Analysis_Table" ref="A2:F7" headerRowCount="0" totalsRowShown="0">
  <tableColumns count="6">
    <tableColumn id="1" xr3:uid="{E4A1CD77-9F19-A846-89E8-10FC95EB4E5B}" name="Column1"/>
    <tableColumn id="2" xr3:uid="{F3B2D1BF-788D-A648-A843-D11F87BCE22F}" name="Column2" dataDxfId="4">
      <calculatedColumnFormula>SUMIFS(Raw_Data!$AR:$AR,Raw_Data!$D:$D,A3,Raw_Data!$K:$K,"Import")</calculatedColumnFormula>
    </tableColumn>
    <tableColumn id="3" xr3:uid="{E61E293C-57F3-BC44-969B-B5606B5E6468}" name="Column3" dataDxfId="3">
      <calculatedColumnFormula>SUMIFS(Raw_Data!$AR:$AR,Raw_Data!$D:$D,A3,Raw_Data!$K:$K,"Export")</calculatedColumnFormula>
    </tableColumn>
    <tableColumn id="4" xr3:uid="{D5878BF0-EF4A-124E-803E-FB5CC50792C1}" name="Column4" dataDxfId="2">
      <calculatedColumnFormula>C3-B3</calculatedColumnFormula>
    </tableColumn>
    <tableColumn id="5" xr3:uid="{8CB7DD7A-BA61-7B4D-82CE-D6203E9BA296}" name="Column5" dataDxfId="1" dataCellStyle="Per cent">
      <calculatedColumnFormula>(B3-B2)/B2</calculatedColumnFormula>
    </tableColumn>
    <tableColumn id="6" xr3:uid="{3243C63F-236A-6142-861C-F58C37EFE100}" name="Column6" dataDxfId="0" dataCellStyle="Per cent">
      <calculatedColumnFormula>(C3-C2)/C2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36BABB59-3F1F-034E-A208-96219E3B377D}" name="Trade_Data_Clean" displayName="Trade_Data_Clean" ref="A1:L11" tableType="queryTable" totalsRowShown="0">
  <autoFilter ref="A1:L11" xr:uid="{36BABB59-3F1F-034E-A208-96219E3B377D}"/>
  <tableColumns count="12">
    <tableColumn id="48" xr3:uid="{D5A72E41-7A41-BE4C-9D8D-D9E6779EC55F}" uniqueName="48" name="Year" queryTableFieldId="48"/>
    <tableColumn id="49" xr3:uid="{3B3AAB4E-D613-3740-BDF5-7E9327F73504}" uniqueName="49" name="Period_Year" queryTableFieldId="49"/>
    <tableColumn id="50" xr3:uid="{06C5C5D1-8F63-9F43-93B6-38818A850787}" uniqueName="50" name="Reporter_Code" queryTableFieldId="50" dataDxfId="23"/>
    <tableColumn id="51" xr3:uid="{68127114-9D48-1E44-BE90-89298F501840}" uniqueName="51" name="Reporter" queryTableFieldId="51" dataDxfId="22"/>
    <tableColumn id="52" xr3:uid="{FFA66A91-835B-AD48-8C07-80E2DE5FB2AE}" uniqueName="52" name="Trade_Flow" queryTableFieldId="52"/>
    <tableColumn id="53" xr3:uid="{49E9EB48-6B1E-424C-B46D-B81D77EDC967}" uniqueName="53" name="Partner_Code" queryTableFieldId="53" dataDxfId="21"/>
    <tableColumn id="54" xr3:uid="{FEFE1605-10CC-1246-A349-AAA45145E1AC}" uniqueName="54" name="Partner" queryTableFieldId="54" dataDxfId="20"/>
    <tableColumn id="55" xr3:uid="{922E3805-692A-4B46-B436-BE24E9C3E50A}" uniqueName="55" name="Classification" queryTableFieldId="55" dataDxfId="19"/>
    <tableColumn id="56" xr3:uid="{A27AFA67-1B7C-0B41-80E0-521572F9025B}" uniqueName="56" name="Commodity" queryTableFieldId="56" dataDxfId="18"/>
    <tableColumn id="57" xr3:uid="{E06DD0A9-331D-BF44-BEBB-776A447C63A2}" uniqueName="57" name="Trade_Value_USD" queryTableFieldId="57" dataDxfId="17"/>
    <tableColumn id="58" xr3:uid="{73DBF111-E26C-8C44-9D1A-09BF98BCABFD}" uniqueName="58" name="Trade_Value_Billion_USD" queryTableFieldId="58" dataDxfId="16"/>
    <tableColumn id="1" xr3:uid="{25F11192-B0A1-9743-8AD6-366E672E92BB}" uniqueName="1" name="Net_Trade_Billion_USD" queryTableFieldId="59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7277-21B2-8D46-BFC4-A7BBBCCDA832}">
  <dimension ref="A1:AU11"/>
  <sheetViews>
    <sheetView tabSelected="1" workbookViewId="0">
      <selection activeCell="B2" sqref="B2"/>
    </sheetView>
  </sheetViews>
  <sheetFormatPr baseColWidth="10" defaultRowHeight="16" x14ac:dyDescent="0.2"/>
  <cols>
    <col min="1" max="1" width="11.33203125" customWidth="1"/>
    <col min="2" max="2" width="11.1640625" customWidth="1"/>
    <col min="3" max="3" width="12.6640625" customWidth="1"/>
    <col min="5" max="5" width="11" customWidth="1"/>
    <col min="7" max="7" width="14.5" customWidth="1"/>
    <col min="8" max="8" width="13" customWidth="1"/>
    <col min="9" max="9" width="14.5" customWidth="1"/>
    <col min="10" max="11" width="11.33203125" customWidth="1"/>
    <col min="12" max="12" width="13.83203125" customWidth="1"/>
    <col min="13" max="13" width="12.33203125" customWidth="1"/>
    <col min="14" max="14" width="13.83203125" customWidth="1"/>
    <col min="15" max="15" width="14.83203125" customWidth="1"/>
    <col min="16" max="16" width="13.33203125" customWidth="1"/>
    <col min="17" max="17" width="14.83203125" customWidth="1"/>
    <col min="18" max="18" width="19.1640625" customWidth="1"/>
    <col min="19" max="19" width="24.83203125" customWidth="1"/>
    <col min="20" max="20" width="23.1640625" customWidth="1"/>
    <col min="21" max="23" width="11.5" customWidth="1"/>
    <col min="25" max="26" width="15.1640625" customWidth="1"/>
    <col min="27" max="27" width="11.5" customWidth="1"/>
    <col min="28" max="29" width="11.1640625" customWidth="1"/>
    <col min="30" max="30" width="13.6640625" customWidth="1"/>
    <col min="31" max="31" width="13.1640625" customWidth="1"/>
    <col min="33" max="33" width="16.33203125" customWidth="1"/>
    <col min="34" max="34" width="16.1640625" customWidth="1"/>
    <col min="35" max="35" width="15.6640625" customWidth="1"/>
    <col min="37" max="37" width="18.6640625" customWidth="1"/>
    <col min="39" max="39" width="19.83203125" customWidth="1"/>
    <col min="40" max="40" width="11.5" customWidth="1"/>
    <col min="41" max="41" width="21.83203125" customWidth="1"/>
    <col min="44" max="44" width="14.5" customWidth="1"/>
    <col min="45" max="45" width="21.33203125" customWidth="1"/>
    <col min="46" max="46" width="12.5" customWidth="1"/>
    <col min="47" max="47" width="13.5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">
      <c r="A2" t="s">
        <v>47</v>
      </c>
      <c r="B2" t="s">
        <v>48</v>
      </c>
      <c r="C2">
        <v>20200101</v>
      </c>
      <c r="D2">
        <v>2020</v>
      </c>
      <c r="E2">
        <v>52</v>
      </c>
      <c r="F2">
        <v>2020</v>
      </c>
      <c r="G2">
        <v>699</v>
      </c>
      <c r="H2" t="s">
        <v>49</v>
      </c>
      <c r="I2" t="s">
        <v>50</v>
      </c>
      <c r="J2" t="s">
        <v>51</v>
      </c>
      <c r="K2" t="s">
        <v>52</v>
      </c>
      <c r="L2">
        <v>0</v>
      </c>
      <c r="M2" t="s">
        <v>53</v>
      </c>
      <c r="N2" t="s">
        <v>54</v>
      </c>
      <c r="O2">
        <v>0</v>
      </c>
      <c r="P2" t="s">
        <v>53</v>
      </c>
      <c r="Q2" t="s">
        <v>54</v>
      </c>
      <c r="R2" t="s">
        <v>55</v>
      </c>
      <c r="S2" t="s">
        <v>56</v>
      </c>
      <c r="T2" t="b">
        <v>1</v>
      </c>
      <c r="U2" t="s">
        <v>57</v>
      </c>
      <c r="V2" t="s">
        <v>58</v>
      </c>
      <c r="W2">
        <v>0</v>
      </c>
      <c r="X2" t="b">
        <v>0</v>
      </c>
      <c r="Y2" t="s">
        <v>59</v>
      </c>
      <c r="Z2" t="s">
        <v>60</v>
      </c>
      <c r="AA2">
        <v>0</v>
      </c>
      <c r="AB2">
        <v>0</v>
      </c>
      <c r="AC2" t="s">
        <v>61</v>
      </c>
      <c r="AD2">
        <v>-1</v>
      </c>
      <c r="AE2" t="s">
        <v>62</v>
      </c>
      <c r="AF2">
        <v>0</v>
      </c>
      <c r="AG2" t="b">
        <v>0</v>
      </c>
      <c r="AH2">
        <v>-1</v>
      </c>
      <c r="AI2" t="s">
        <v>62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367980363479.68402</v>
      </c>
      <c r="AQ2">
        <v>0</v>
      </c>
      <c r="AR2">
        <v>367980363479.68402</v>
      </c>
      <c r="AS2">
        <v>4</v>
      </c>
      <c r="AT2" t="b">
        <v>0</v>
      </c>
      <c r="AU2" t="b">
        <v>1</v>
      </c>
    </row>
    <row r="3" spans="1:47" x14ac:dyDescent="0.2">
      <c r="A3" t="s">
        <v>47</v>
      </c>
      <c r="B3" t="s">
        <v>48</v>
      </c>
      <c r="C3">
        <v>20200101</v>
      </c>
      <c r="D3">
        <v>2020</v>
      </c>
      <c r="E3">
        <v>52</v>
      </c>
      <c r="F3">
        <v>2020</v>
      </c>
      <c r="G3">
        <v>699</v>
      </c>
      <c r="H3" t="s">
        <v>49</v>
      </c>
      <c r="I3" t="s">
        <v>50</v>
      </c>
      <c r="J3" t="s">
        <v>63</v>
      </c>
      <c r="K3" t="s">
        <v>64</v>
      </c>
      <c r="L3">
        <v>0</v>
      </c>
      <c r="M3" t="s">
        <v>53</v>
      </c>
      <c r="N3" t="s">
        <v>54</v>
      </c>
      <c r="O3">
        <v>0</v>
      </c>
      <c r="P3" t="s">
        <v>53</v>
      </c>
      <c r="Q3" t="s">
        <v>54</v>
      </c>
      <c r="R3" t="s">
        <v>55</v>
      </c>
      <c r="S3" t="s">
        <v>56</v>
      </c>
      <c r="T3" t="b">
        <v>1</v>
      </c>
      <c r="U3" t="s">
        <v>57</v>
      </c>
      <c r="V3" t="s">
        <v>58</v>
      </c>
      <c r="W3">
        <v>0</v>
      </c>
      <c r="X3" t="b">
        <v>0</v>
      </c>
      <c r="Y3" t="s">
        <v>59</v>
      </c>
      <c r="Z3" t="s">
        <v>60</v>
      </c>
      <c r="AA3">
        <v>0</v>
      </c>
      <c r="AB3">
        <v>0</v>
      </c>
      <c r="AC3" t="s">
        <v>61</v>
      </c>
      <c r="AD3">
        <v>-1</v>
      </c>
      <c r="AE3" t="s">
        <v>62</v>
      </c>
      <c r="AF3">
        <v>0</v>
      </c>
      <c r="AG3" t="b">
        <v>0</v>
      </c>
      <c r="AH3">
        <v>-1</v>
      </c>
      <c r="AI3" t="s">
        <v>62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0</v>
      </c>
      <c r="AQ3">
        <v>275488744927.54602</v>
      </c>
      <c r="AR3">
        <v>275488744927.54602</v>
      </c>
      <c r="AS3">
        <v>4</v>
      </c>
      <c r="AT3" t="b">
        <v>0</v>
      </c>
      <c r="AU3" t="b">
        <v>1</v>
      </c>
    </row>
    <row r="4" spans="1:47" x14ac:dyDescent="0.2">
      <c r="A4" t="s">
        <v>47</v>
      </c>
      <c r="B4" t="s">
        <v>48</v>
      </c>
      <c r="C4">
        <v>20210101</v>
      </c>
      <c r="D4">
        <v>2021</v>
      </c>
      <c r="E4">
        <v>52</v>
      </c>
      <c r="F4">
        <v>2021</v>
      </c>
      <c r="G4">
        <v>699</v>
      </c>
      <c r="H4" t="s">
        <v>49</v>
      </c>
      <c r="I4" t="s">
        <v>50</v>
      </c>
      <c r="J4" t="s">
        <v>51</v>
      </c>
      <c r="K4" t="s">
        <v>52</v>
      </c>
      <c r="L4">
        <v>0</v>
      </c>
      <c r="M4" t="s">
        <v>53</v>
      </c>
      <c r="N4" t="s">
        <v>54</v>
      </c>
      <c r="O4">
        <v>0</v>
      </c>
      <c r="P4" t="s">
        <v>53</v>
      </c>
      <c r="Q4" t="s">
        <v>54</v>
      </c>
      <c r="R4" t="s">
        <v>55</v>
      </c>
      <c r="S4" t="s">
        <v>56</v>
      </c>
      <c r="T4" t="b">
        <v>1</v>
      </c>
      <c r="U4" t="s">
        <v>57</v>
      </c>
      <c r="V4" t="s">
        <v>58</v>
      </c>
      <c r="W4">
        <v>0</v>
      </c>
      <c r="X4" t="b">
        <v>0</v>
      </c>
      <c r="Y4" t="s">
        <v>59</v>
      </c>
      <c r="Z4" t="s">
        <v>60</v>
      </c>
      <c r="AA4">
        <v>0</v>
      </c>
      <c r="AB4">
        <v>0</v>
      </c>
      <c r="AC4" t="s">
        <v>61</v>
      </c>
      <c r="AD4">
        <v>-1</v>
      </c>
      <c r="AE4" t="s">
        <v>62</v>
      </c>
      <c r="AF4">
        <v>0</v>
      </c>
      <c r="AG4" t="b">
        <v>0</v>
      </c>
      <c r="AH4">
        <v>-1</v>
      </c>
      <c r="AI4" t="s">
        <v>62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570402004491.755</v>
      </c>
      <c r="AQ4">
        <v>0</v>
      </c>
      <c r="AR4">
        <v>570402004491.755</v>
      </c>
      <c r="AS4">
        <v>4</v>
      </c>
      <c r="AT4" t="b">
        <v>0</v>
      </c>
      <c r="AU4" t="b">
        <v>1</v>
      </c>
    </row>
    <row r="5" spans="1:47" x14ac:dyDescent="0.2">
      <c r="A5" t="s">
        <v>47</v>
      </c>
      <c r="B5" t="s">
        <v>48</v>
      </c>
      <c r="C5">
        <v>20210101</v>
      </c>
      <c r="D5">
        <v>2021</v>
      </c>
      <c r="E5">
        <v>52</v>
      </c>
      <c r="F5">
        <v>2021</v>
      </c>
      <c r="G5">
        <v>699</v>
      </c>
      <c r="H5" t="s">
        <v>49</v>
      </c>
      <c r="I5" t="s">
        <v>50</v>
      </c>
      <c r="J5" t="s">
        <v>63</v>
      </c>
      <c r="K5" t="s">
        <v>64</v>
      </c>
      <c r="L5">
        <v>0</v>
      </c>
      <c r="M5" t="s">
        <v>53</v>
      </c>
      <c r="N5" t="s">
        <v>54</v>
      </c>
      <c r="O5">
        <v>0</v>
      </c>
      <c r="P5" t="s">
        <v>53</v>
      </c>
      <c r="Q5" t="s">
        <v>54</v>
      </c>
      <c r="R5" t="s">
        <v>55</v>
      </c>
      <c r="S5" t="s">
        <v>56</v>
      </c>
      <c r="T5" t="b">
        <v>1</v>
      </c>
      <c r="U5" t="s">
        <v>57</v>
      </c>
      <c r="V5" t="s">
        <v>58</v>
      </c>
      <c r="W5">
        <v>0</v>
      </c>
      <c r="X5" t="b">
        <v>0</v>
      </c>
      <c r="Y5" t="s">
        <v>59</v>
      </c>
      <c r="Z5" t="s">
        <v>60</v>
      </c>
      <c r="AA5">
        <v>0</v>
      </c>
      <c r="AB5">
        <v>0</v>
      </c>
      <c r="AC5" t="s">
        <v>61</v>
      </c>
      <c r="AD5">
        <v>-1</v>
      </c>
      <c r="AE5" t="s">
        <v>62</v>
      </c>
      <c r="AF5">
        <v>0</v>
      </c>
      <c r="AG5" t="b">
        <v>0</v>
      </c>
      <c r="AH5">
        <v>-1</v>
      </c>
      <c r="AI5" t="s">
        <v>62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P5">
        <v>0</v>
      </c>
      <c r="AQ5">
        <v>394813673347.297</v>
      </c>
      <c r="AR5">
        <v>394813673347.297</v>
      </c>
      <c r="AS5">
        <v>4</v>
      </c>
      <c r="AT5" t="b">
        <v>0</v>
      </c>
      <c r="AU5" t="b">
        <v>1</v>
      </c>
    </row>
    <row r="6" spans="1:47" x14ac:dyDescent="0.2">
      <c r="A6" t="s">
        <v>47</v>
      </c>
      <c r="B6" t="s">
        <v>48</v>
      </c>
      <c r="C6">
        <v>20220101</v>
      </c>
      <c r="D6">
        <v>2022</v>
      </c>
      <c r="E6">
        <v>52</v>
      </c>
      <c r="F6">
        <v>2022</v>
      </c>
      <c r="G6">
        <v>699</v>
      </c>
      <c r="H6" t="s">
        <v>49</v>
      </c>
      <c r="I6" t="s">
        <v>50</v>
      </c>
      <c r="J6" t="s">
        <v>51</v>
      </c>
      <c r="K6" t="s">
        <v>52</v>
      </c>
      <c r="L6">
        <v>0</v>
      </c>
      <c r="M6" t="s">
        <v>53</v>
      </c>
      <c r="N6" t="s">
        <v>54</v>
      </c>
      <c r="O6">
        <v>0</v>
      </c>
      <c r="P6" t="s">
        <v>53</v>
      </c>
      <c r="Q6" t="s">
        <v>54</v>
      </c>
      <c r="R6" t="s">
        <v>65</v>
      </c>
      <c r="S6" t="s">
        <v>56</v>
      </c>
      <c r="T6" t="b">
        <v>1</v>
      </c>
      <c r="U6" t="s">
        <v>57</v>
      </c>
      <c r="V6" t="s">
        <v>58</v>
      </c>
      <c r="W6">
        <v>0</v>
      </c>
      <c r="X6" t="b">
        <v>0</v>
      </c>
      <c r="Y6" t="s">
        <v>59</v>
      </c>
      <c r="Z6" t="s">
        <v>60</v>
      </c>
      <c r="AA6">
        <v>0</v>
      </c>
      <c r="AB6">
        <v>0</v>
      </c>
      <c r="AC6" t="s">
        <v>61</v>
      </c>
      <c r="AD6">
        <v>-1</v>
      </c>
      <c r="AE6" t="s">
        <v>62</v>
      </c>
      <c r="AF6">
        <v>0</v>
      </c>
      <c r="AG6" t="b">
        <v>0</v>
      </c>
      <c r="AH6">
        <v>-1</v>
      </c>
      <c r="AI6" t="s">
        <v>62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732565993392.92798</v>
      </c>
      <c r="AR6">
        <v>732565993392.92798</v>
      </c>
      <c r="AS6">
        <v>4</v>
      </c>
      <c r="AT6" t="b">
        <v>0</v>
      </c>
      <c r="AU6" t="b">
        <v>1</v>
      </c>
    </row>
    <row r="7" spans="1:47" x14ac:dyDescent="0.2">
      <c r="A7" t="s">
        <v>47</v>
      </c>
      <c r="B7" t="s">
        <v>48</v>
      </c>
      <c r="C7">
        <v>20220101</v>
      </c>
      <c r="D7">
        <v>2022</v>
      </c>
      <c r="E7">
        <v>52</v>
      </c>
      <c r="F7">
        <v>2022</v>
      </c>
      <c r="G7">
        <v>699</v>
      </c>
      <c r="H7" t="s">
        <v>49</v>
      </c>
      <c r="I7" t="s">
        <v>50</v>
      </c>
      <c r="J7" t="s">
        <v>63</v>
      </c>
      <c r="K7" t="s">
        <v>64</v>
      </c>
      <c r="L7">
        <v>0</v>
      </c>
      <c r="M7" t="s">
        <v>53</v>
      </c>
      <c r="N7" t="s">
        <v>54</v>
      </c>
      <c r="O7">
        <v>0</v>
      </c>
      <c r="P7" t="s">
        <v>53</v>
      </c>
      <c r="Q7" t="s">
        <v>54</v>
      </c>
      <c r="R7" t="s">
        <v>65</v>
      </c>
      <c r="S7" t="s">
        <v>56</v>
      </c>
      <c r="T7" t="b">
        <v>1</v>
      </c>
      <c r="U7" t="s">
        <v>57</v>
      </c>
      <c r="V7" t="s">
        <v>58</v>
      </c>
      <c r="W7">
        <v>0</v>
      </c>
      <c r="X7" t="b">
        <v>0</v>
      </c>
      <c r="Y7" t="s">
        <v>59</v>
      </c>
      <c r="Z7" t="s">
        <v>60</v>
      </c>
      <c r="AA7">
        <v>0</v>
      </c>
      <c r="AB7">
        <v>0</v>
      </c>
      <c r="AC7" t="s">
        <v>61</v>
      </c>
      <c r="AD7">
        <v>-1</v>
      </c>
      <c r="AE7" t="s">
        <v>62</v>
      </c>
      <c r="AF7">
        <v>0</v>
      </c>
      <c r="AG7" t="b">
        <v>0</v>
      </c>
      <c r="AH7">
        <v>-1</v>
      </c>
      <c r="AI7" t="s">
        <v>62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452684213646.74701</v>
      </c>
      <c r="AR7">
        <v>452684213646.74701</v>
      </c>
      <c r="AS7">
        <v>4</v>
      </c>
      <c r="AT7" t="b">
        <v>0</v>
      </c>
      <c r="AU7" t="b">
        <v>1</v>
      </c>
    </row>
    <row r="8" spans="1:47" x14ac:dyDescent="0.2">
      <c r="A8" t="s">
        <v>47</v>
      </c>
      <c r="B8" t="s">
        <v>48</v>
      </c>
      <c r="C8">
        <v>20230101</v>
      </c>
      <c r="D8">
        <v>2023</v>
      </c>
      <c r="E8">
        <v>52</v>
      </c>
      <c r="F8">
        <v>2023</v>
      </c>
      <c r="G8">
        <v>699</v>
      </c>
      <c r="H8" t="s">
        <v>49</v>
      </c>
      <c r="I8" t="s">
        <v>50</v>
      </c>
      <c r="J8" t="s">
        <v>51</v>
      </c>
      <c r="K8" t="s">
        <v>52</v>
      </c>
      <c r="L8">
        <v>0</v>
      </c>
      <c r="M8" t="s">
        <v>53</v>
      </c>
      <c r="N8" t="s">
        <v>54</v>
      </c>
      <c r="O8">
        <v>0</v>
      </c>
      <c r="P8" t="s">
        <v>53</v>
      </c>
      <c r="Q8" t="s">
        <v>54</v>
      </c>
      <c r="R8" t="s">
        <v>65</v>
      </c>
      <c r="S8" t="s">
        <v>56</v>
      </c>
      <c r="T8" t="b">
        <v>1</v>
      </c>
      <c r="U8" t="s">
        <v>57</v>
      </c>
      <c r="V8" t="s">
        <v>58</v>
      </c>
      <c r="W8">
        <v>0</v>
      </c>
      <c r="X8" t="b">
        <v>0</v>
      </c>
      <c r="Y8" t="s">
        <v>59</v>
      </c>
      <c r="Z8" t="s">
        <v>60</v>
      </c>
      <c r="AA8">
        <v>0</v>
      </c>
      <c r="AB8">
        <v>0</v>
      </c>
      <c r="AC8" t="s">
        <v>61</v>
      </c>
      <c r="AD8">
        <v>-1</v>
      </c>
      <c r="AE8" t="s">
        <v>62</v>
      </c>
      <c r="AF8">
        <v>0</v>
      </c>
      <c r="AG8" t="b">
        <v>0</v>
      </c>
      <c r="AH8">
        <v>-1</v>
      </c>
      <c r="AI8" t="s">
        <v>62</v>
      </c>
      <c r="AJ8">
        <v>0</v>
      </c>
      <c r="AK8" t="b">
        <v>0</v>
      </c>
      <c r="AM8" t="b">
        <v>0</v>
      </c>
      <c r="AN8">
        <v>0</v>
      </c>
      <c r="AO8" t="b">
        <v>0</v>
      </c>
      <c r="AP8">
        <v>672140129635.88196</v>
      </c>
      <c r="AR8">
        <v>672140129635.88196</v>
      </c>
      <c r="AS8">
        <v>0</v>
      </c>
      <c r="AT8" t="b">
        <v>0</v>
      </c>
      <c r="AU8" t="b">
        <v>1</v>
      </c>
    </row>
    <row r="9" spans="1:47" x14ac:dyDescent="0.2">
      <c r="A9" t="s">
        <v>47</v>
      </c>
      <c r="B9" t="s">
        <v>48</v>
      </c>
      <c r="C9">
        <v>20230101</v>
      </c>
      <c r="D9">
        <v>2023</v>
      </c>
      <c r="E9">
        <v>52</v>
      </c>
      <c r="F9">
        <v>2023</v>
      </c>
      <c r="G9">
        <v>699</v>
      </c>
      <c r="H9" t="s">
        <v>49</v>
      </c>
      <c r="I9" t="s">
        <v>50</v>
      </c>
      <c r="J9" t="s">
        <v>63</v>
      </c>
      <c r="K9" t="s">
        <v>64</v>
      </c>
      <c r="L9">
        <v>0</v>
      </c>
      <c r="M9" t="s">
        <v>53</v>
      </c>
      <c r="N9" t="s">
        <v>54</v>
      </c>
      <c r="O9">
        <v>0</v>
      </c>
      <c r="P9" t="s">
        <v>53</v>
      </c>
      <c r="Q9" t="s">
        <v>54</v>
      </c>
      <c r="R9" t="s">
        <v>65</v>
      </c>
      <c r="S9" t="s">
        <v>56</v>
      </c>
      <c r="T9" t="b">
        <v>1</v>
      </c>
      <c r="U9" t="s">
        <v>57</v>
      </c>
      <c r="V9" t="s">
        <v>58</v>
      </c>
      <c r="W9">
        <v>0</v>
      </c>
      <c r="X9" t="b">
        <v>0</v>
      </c>
      <c r="Y9" t="s">
        <v>59</v>
      </c>
      <c r="Z9" t="s">
        <v>60</v>
      </c>
      <c r="AA9">
        <v>0</v>
      </c>
      <c r="AB9">
        <v>0</v>
      </c>
      <c r="AC9" t="s">
        <v>61</v>
      </c>
      <c r="AD9">
        <v>-1</v>
      </c>
      <c r="AE9" t="s">
        <v>62</v>
      </c>
      <c r="AF9">
        <v>0</v>
      </c>
      <c r="AG9" t="b">
        <v>0</v>
      </c>
      <c r="AH9">
        <v>-1</v>
      </c>
      <c r="AI9" t="s">
        <v>62</v>
      </c>
      <c r="AJ9">
        <v>0</v>
      </c>
      <c r="AK9" t="b">
        <v>0</v>
      </c>
      <c r="AM9" t="b">
        <v>0</v>
      </c>
      <c r="AN9">
        <v>0</v>
      </c>
      <c r="AO9" t="b">
        <v>0</v>
      </c>
      <c r="AQ9">
        <v>431411977211.29999</v>
      </c>
      <c r="AR9">
        <v>431411977211.29999</v>
      </c>
      <c r="AS9">
        <v>0</v>
      </c>
      <c r="AT9" t="b">
        <v>0</v>
      </c>
      <c r="AU9" t="b">
        <v>1</v>
      </c>
    </row>
    <row r="10" spans="1:47" x14ac:dyDescent="0.2">
      <c r="A10" t="s">
        <v>47</v>
      </c>
      <c r="B10" t="s">
        <v>48</v>
      </c>
      <c r="C10">
        <v>20240101</v>
      </c>
      <c r="D10">
        <v>2024</v>
      </c>
      <c r="E10">
        <v>52</v>
      </c>
      <c r="F10">
        <v>2024</v>
      </c>
      <c r="G10">
        <v>699</v>
      </c>
      <c r="H10" t="s">
        <v>49</v>
      </c>
      <c r="I10" t="s">
        <v>50</v>
      </c>
      <c r="J10" t="s">
        <v>51</v>
      </c>
      <c r="K10" t="s">
        <v>52</v>
      </c>
      <c r="L10">
        <v>0</v>
      </c>
      <c r="M10" t="s">
        <v>53</v>
      </c>
      <c r="N10" t="s">
        <v>54</v>
      </c>
      <c r="O10">
        <v>0</v>
      </c>
      <c r="P10" t="s">
        <v>53</v>
      </c>
      <c r="Q10" t="s">
        <v>54</v>
      </c>
      <c r="R10" t="s">
        <v>65</v>
      </c>
      <c r="S10" t="s">
        <v>56</v>
      </c>
      <c r="T10" t="b">
        <v>1</v>
      </c>
      <c r="U10" t="s">
        <v>57</v>
      </c>
      <c r="V10" t="s">
        <v>58</v>
      </c>
      <c r="W10">
        <v>0</v>
      </c>
      <c r="X10" t="b">
        <v>0</v>
      </c>
      <c r="Y10" t="s">
        <v>59</v>
      </c>
      <c r="Z10" t="s">
        <v>60</v>
      </c>
      <c r="AA10">
        <v>0</v>
      </c>
      <c r="AB10">
        <v>0</v>
      </c>
      <c r="AC10" t="s">
        <v>61</v>
      </c>
      <c r="AD10">
        <v>-1</v>
      </c>
      <c r="AE10" t="s">
        <v>62</v>
      </c>
      <c r="AF10">
        <v>0</v>
      </c>
      <c r="AG10" t="b">
        <v>0</v>
      </c>
      <c r="AH10">
        <v>-1</v>
      </c>
      <c r="AI10" t="s">
        <v>62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P10">
        <v>697745120144.98401</v>
      </c>
      <c r="AR10">
        <v>697745120144.98401</v>
      </c>
      <c r="AS10">
        <v>0</v>
      </c>
      <c r="AT10" t="b">
        <v>0</v>
      </c>
      <c r="AU10" t="b">
        <v>1</v>
      </c>
    </row>
    <row r="11" spans="1:47" x14ac:dyDescent="0.2">
      <c r="A11" t="s">
        <v>47</v>
      </c>
      <c r="B11" t="s">
        <v>48</v>
      </c>
      <c r="C11">
        <v>20240101</v>
      </c>
      <c r="D11">
        <v>2024</v>
      </c>
      <c r="E11">
        <v>52</v>
      </c>
      <c r="F11">
        <v>2024</v>
      </c>
      <c r="G11">
        <v>699</v>
      </c>
      <c r="H11" t="s">
        <v>49</v>
      </c>
      <c r="I11" t="s">
        <v>50</v>
      </c>
      <c r="J11" t="s">
        <v>63</v>
      </c>
      <c r="K11" t="s">
        <v>64</v>
      </c>
      <c r="L11">
        <v>0</v>
      </c>
      <c r="M11" t="s">
        <v>53</v>
      </c>
      <c r="N11" t="s">
        <v>54</v>
      </c>
      <c r="O11">
        <v>0</v>
      </c>
      <c r="P11" t="s">
        <v>53</v>
      </c>
      <c r="Q11" t="s">
        <v>54</v>
      </c>
      <c r="R11" t="s">
        <v>65</v>
      </c>
      <c r="S11" t="s">
        <v>56</v>
      </c>
      <c r="T11" t="b">
        <v>1</v>
      </c>
      <c r="U11" t="s">
        <v>57</v>
      </c>
      <c r="V11" t="s">
        <v>58</v>
      </c>
      <c r="W11">
        <v>0</v>
      </c>
      <c r="X11" t="b">
        <v>0</v>
      </c>
      <c r="Y11" t="s">
        <v>59</v>
      </c>
      <c r="Z11" t="s">
        <v>60</v>
      </c>
      <c r="AA11">
        <v>0</v>
      </c>
      <c r="AB11">
        <v>0</v>
      </c>
      <c r="AC11" t="s">
        <v>61</v>
      </c>
      <c r="AD11">
        <v>-1</v>
      </c>
      <c r="AE11" t="s">
        <v>62</v>
      </c>
      <c r="AF11">
        <v>0</v>
      </c>
      <c r="AG11" t="b">
        <v>0</v>
      </c>
      <c r="AH11">
        <v>-1</v>
      </c>
      <c r="AI11" t="s">
        <v>62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434435484213.94</v>
      </c>
      <c r="AR11">
        <v>434435484213.94</v>
      </c>
      <c r="AS11">
        <v>4</v>
      </c>
      <c r="AT11" t="b">
        <v>0</v>
      </c>
      <c r="AU11" t="b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0B94-12CC-3742-8787-DF2480A1ABE6}">
  <dimension ref="A1:B12"/>
  <sheetViews>
    <sheetView workbookViewId="0">
      <selection activeCell="B13" sqref="B13"/>
    </sheetView>
  </sheetViews>
  <sheetFormatPr baseColWidth="10" defaultRowHeight="16" x14ac:dyDescent="0.2"/>
  <cols>
    <col min="1" max="1" width="19" customWidth="1"/>
    <col min="2" max="2" width="21.33203125" customWidth="1"/>
  </cols>
  <sheetData>
    <row r="1" spans="1:2" x14ac:dyDescent="0.2">
      <c r="A1" t="s">
        <v>66</v>
      </c>
    </row>
    <row r="2" spans="1:2" x14ac:dyDescent="0.2">
      <c r="A2" t="s">
        <v>67</v>
      </c>
      <c r="B2" t="s">
        <v>68</v>
      </c>
    </row>
    <row r="3" spans="1:2" x14ac:dyDescent="0.2">
      <c r="A3" t="s">
        <v>69</v>
      </c>
      <c r="B3">
        <f>COUNTA(Raw_Data!A:A)-1</f>
        <v>10</v>
      </c>
    </row>
    <row r="4" spans="1:2" x14ac:dyDescent="0.2">
      <c r="A4" t="s">
        <v>70</v>
      </c>
      <c r="B4">
        <f>COUNTA(Raw_Data!1:1)</f>
        <v>47</v>
      </c>
    </row>
    <row r="5" spans="1:2" x14ac:dyDescent="0.2">
      <c r="A5" t="s">
        <v>71</v>
      </c>
      <c r="B5">
        <f>COUNTA(_xlfn.UNIQUE(Raw_Data!D2:D11))</f>
        <v>5</v>
      </c>
    </row>
    <row r="6" spans="1:2" x14ac:dyDescent="0.2">
      <c r="A6" t="s">
        <v>72</v>
      </c>
      <c r="B6">
        <f>COUNTA(_xlfn.UNIQUE(Raw_Data!K2:K11))</f>
        <v>2</v>
      </c>
    </row>
    <row r="7" spans="1:2" x14ac:dyDescent="0.2">
      <c r="A7" t="s">
        <v>73</v>
      </c>
      <c r="B7">
        <f>COUNTA(_xlfn.UNIQUE(Raw_Data!I2:I11))</f>
        <v>1</v>
      </c>
    </row>
    <row r="8" spans="1:2" x14ac:dyDescent="0.2">
      <c r="A8" t="s">
        <v>80</v>
      </c>
      <c r="B8">
        <f>COUNTBLANK(Raw_Data!AR2:AR11)</f>
        <v>0</v>
      </c>
    </row>
    <row r="9" spans="1:2" x14ac:dyDescent="0.2">
      <c r="A9" t="s">
        <v>81</v>
      </c>
      <c r="B9">
        <f>COUNTIF(Raw_Data!AR2:AR11,0)</f>
        <v>0</v>
      </c>
    </row>
    <row r="10" spans="1:2" x14ac:dyDescent="0.2">
      <c r="A10" t="s">
        <v>82</v>
      </c>
      <c r="B10">
        <f>COUNTBLANK(Raw_Data!AL2:AL11)</f>
        <v>3</v>
      </c>
    </row>
    <row r="11" spans="1:2" x14ac:dyDescent="0.2">
      <c r="A11" t="s">
        <v>83</v>
      </c>
      <c r="B11">
        <f>COUNTIF(Raw_Data!AL2:AL11,0)</f>
        <v>7</v>
      </c>
    </row>
    <row r="12" spans="1:2" x14ac:dyDescent="0.2">
      <c r="A12" t="s">
        <v>84</v>
      </c>
      <c r="B12">
        <f>COUNTIF(Raw_Data!AM2:AM11,TRUE)</f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DC84-D125-2F42-99AE-B8E77A2100BF}">
  <dimension ref="A2:F7"/>
  <sheetViews>
    <sheetView workbookViewId="0">
      <selection activeCell="B11" sqref="B11"/>
    </sheetView>
  </sheetViews>
  <sheetFormatPr baseColWidth="10" defaultRowHeight="16" x14ac:dyDescent="0.2"/>
  <cols>
    <col min="1" max="1" width="11" customWidth="1"/>
    <col min="2" max="2" width="20.6640625" customWidth="1"/>
    <col min="3" max="3" width="24.5" customWidth="1"/>
    <col min="4" max="4" width="21.6640625" customWidth="1"/>
    <col min="5" max="5" width="18.1640625" customWidth="1"/>
    <col min="6" max="6" width="20.1640625" customWidth="1"/>
  </cols>
  <sheetData>
    <row r="2" spans="1:6" x14ac:dyDescent="0.2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</row>
    <row r="3" spans="1:6" x14ac:dyDescent="0.2">
      <c r="A3">
        <v>2020</v>
      </c>
      <c r="B3" s="1">
        <f>SUMIFS(Raw_Data!$AR:$AR,Raw_Data!$D:$D,A3,Raw_Data!$K:$K,"Import")</f>
        <v>367980363479.68402</v>
      </c>
      <c r="C3" s="1">
        <f>SUMIFS(Raw_Data!$AR:$AR,Raw_Data!$D:$D,A3,Raw_Data!$K:$K,"Export")</f>
        <v>275488744927.54602</v>
      </c>
      <c r="D3" s="1">
        <f>C3-B3</f>
        <v>-92491618552.138</v>
      </c>
    </row>
    <row r="4" spans="1:6" x14ac:dyDescent="0.2">
      <c r="A4">
        <v>2021</v>
      </c>
      <c r="B4" s="1">
        <f>SUMIFS(Raw_Data!$AR:$AR,Raw_Data!$D:$D,A4,Raw_Data!$K:$K,"Import")</f>
        <v>570402004491.755</v>
      </c>
      <c r="C4" s="1">
        <f>SUMIFS(Raw_Data!$AR:$AR,Raw_Data!$D:$D,A4,Raw_Data!$K:$K,"Export")</f>
        <v>394813673347.297</v>
      </c>
      <c r="D4" s="1">
        <f t="shared" ref="D4:D7" si="0">C4-B4</f>
        <v>-175588331144.45801</v>
      </c>
      <c r="E4" s="2">
        <f>(B4-B3)/B3</f>
        <v>0.55008815986249371</v>
      </c>
      <c r="F4" s="2">
        <f>(C4-C3)/C3</f>
        <v>0.43313903241721768</v>
      </c>
    </row>
    <row r="5" spans="1:6" x14ac:dyDescent="0.2">
      <c r="A5">
        <v>2022</v>
      </c>
      <c r="B5" s="1">
        <f>SUMIFS(Raw_Data!$AR:$AR,Raw_Data!$D:$D,A5,Raw_Data!$K:$K,"Import")</f>
        <v>732565993392.92798</v>
      </c>
      <c r="C5" s="1">
        <f>SUMIFS(Raw_Data!$AR:$AR,Raw_Data!$D:$D,A5,Raw_Data!$K:$K,"Export")</f>
        <v>452684213646.74701</v>
      </c>
      <c r="D5" s="1">
        <f t="shared" si="0"/>
        <v>-279881779746.18097</v>
      </c>
      <c r="E5" s="2">
        <f t="shared" ref="E5:E7" si="1">(B5-B4)/B4</f>
        <v>0.28429771919484376</v>
      </c>
      <c r="F5" s="2">
        <f t="shared" ref="F5:F7" si="2">(C5-C4)/C4</f>
        <v>0.14657683916773651</v>
      </c>
    </row>
    <row r="6" spans="1:6" x14ac:dyDescent="0.2">
      <c r="A6">
        <v>2023</v>
      </c>
      <c r="B6" s="1">
        <f>SUMIFS(Raw_Data!$AR:$AR,Raw_Data!$D:$D,A6,Raw_Data!$K:$K,"Import")</f>
        <v>672140129635.88196</v>
      </c>
      <c r="C6" s="1">
        <f>SUMIFS(Raw_Data!$AR:$AR,Raw_Data!$D:$D,A6,Raw_Data!$K:$K,"Export")</f>
        <v>431411977211.29999</v>
      </c>
      <c r="D6" s="1">
        <f t="shared" si="0"/>
        <v>-240728152424.58197</v>
      </c>
      <c r="E6" s="2">
        <f t="shared" si="1"/>
        <v>-8.2485215396335312E-2</v>
      </c>
      <c r="F6" s="2">
        <f t="shared" si="2"/>
        <v>-4.6991336994240428E-2</v>
      </c>
    </row>
    <row r="7" spans="1:6" x14ac:dyDescent="0.2">
      <c r="A7">
        <v>2024</v>
      </c>
      <c r="B7" s="1">
        <f>SUMIFS(Raw_Data!$AR:$AR,Raw_Data!$D:$D,A7,Raw_Data!$K:$K,"Import")</f>
        <v>697745120144.98401</v>
      </c>
      <c r="C7" s="1">
        <f>SUMIFS(Raw_Data!$AR:$AR,Raw_Data!$D:$D,A7,Raw_Data!$K:$K,"Export")</f>
        <v>434435484213.94</v>
      </c>
      <c r="D7" s="1">
        <f t="shared" si="0"/>
        <v>-263309635931.04401</v>
      </c>
      <c r="E7" s="2">
        <f t="shared" si="1"/>
        <v>3.8094720699049803E-2</v>
      </c>
      <c r="F7" s="2">
        <f t="shared" si="2"/>
        <v>7.0083983810193106E-3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766A-FD76-9A4E-8AA8-4C5A5C1C4674}">
  <dimension ref="A1:L11"/>
  <sheetViews>
    <sheetView workbookViewId="0">
      <selection activeCell="D7" sqref="D7"/>
    </sheetView>
  </sheetViews>
  <sheetFormatPr baseColWidth="10" defaultRowHeight="16" x14ac:dyDescent="0.2"/>
  <cols>
    <col min="1" max="1" width="7.33203125" bestFit="1" customWidth="1"/>
    <col min="2" max="2" width="13.5" bestFit="1" customWidth="1"/>
    <col min="3" max="3" width="16" bestFit="1" customWidth="1"/>
    <col min="5" max="5" width="12.83203125" bestFit="1" customWidth="1"/>
    <col min="6" max="6" width="15" bestFit="1" customWidth="1"/>
    <col min="7" max="7" width="9.83203125" bestFit="1" customWidth="1"/>
    <col min="8" max="8" width="15.33203125" bestFit="1" customWidth="1"/>
    <col min="9" max="9" width="14.33203125" bestFit="1" customWidth="1"/>
    <col min="10" max="10" width="20.6640625" bestFit="1" customWidth="1"/>
    <col min="11" max="11" width="25.6640625" bestFit="1" customWidth="1"/>
    <col min="12" max="12" width="22.5" bestFit="1" customWidth="1"/>
    <col min="13" max="13" width="11.5" bestFit="1" customWidth="1"/>
    <col min="14" max="14" width="11.33203125" bestFit="1" customWidth="1"/>
    <col min="15" max="15" width="12.83203125" bestFit="1" customWidth="1"/>
    <col min="16" max="16" width="9.6640625" bestFit="1" customWidth="1"/>
    <col min="17" max="17" width="11.1640625" bestFit="1" customWidth="1"/>
    <col min="18" max="18" width="8.83203125" bestFit="1" customWidth="1"/>
    <col min="19" max="19" width="14.6640625" bestFit="1" customWidth="1"/>
    <col min="20" max="20" width="13.1640625" bestFit="1" customWidth="1"/>
    <col min="21" max="21" width="14.6640625" bestFit="1" customWidth="1"/>
    <col min="22" max="23" width="11.5" bestFit="1" customWidth="1"/>
    <col min="24" max="24" width="14" bestFit="1" customWidth="1"/>
    <col min="25" max="25" width="12.5" bestFit="1" customWidth="1"/>
    <col min="26" max="26" width="14" bestFit="1" customWidth="1"/>
    <col min="27" max="27" width="15" bestFit="1" customWidth="1"/>
    <col min="28" max="28" width="13.5" bestFit="1" customWidth="1"/>
    <col min="29" max="29" width="15" bestFit="1" customWidth="1"/>
    <col min="30" max="30" width="19.5" bestFit="1" customWidth="1"/>
    <col min="31" max="31" width="25.33203125" bestFit="1" customWidth="1"/>
    <col min="32" max="32" width="23.5" bestFit="1" customWidth="1"/>
    <col min="33" max="33" width="11.6640625" bestFit="1" customWidth="1"/>
    <col min="34" max="34" width="14.33203125" bestFit="1" customWidth="1"/>
    <col min="35" max="35" width="11.6640625" bestFit="1" customWidth="1"/>
    <col min="36" max="36" width="8.83203125" bestFit="1" customWidth="1"/>
    <col min="37" max="38" width="15.33203125" bestFit="1" customWidth="1"/>
    <col min="39" max="39" width="11.6640625" bestFit="1" customWidth="1"/>
    <col min="40" max="41" width="11.33203125" bestFit="1" customWidth="1"/>
    <col min="42" max="42" width="13.83203125" bestFit="1" customWidth="1"/>
    <col min="43" max="43" width="13.33203125" bestFit="1" customWidth="1"/>
    <col min="44" max="44" width="6.1640625" bestFit="1" customWidth="1"/>
    <col min="45" max="45" width="16.5" bestFit="1" customWidth="1"/>
    <col min="46" max="46" width="16.33203125" bestFit="1" customWidth="1"/>
    <col min="47" max="47" width="15.83203125" bestFit="1" customWidth="1"/>
    <col min="48" max="48" width="8.6640625" bestFit="1" customWidth="1"/>
    <col min="49" max="49" width="19" bestFit="1" customWidth="1"/>
    <col min="50" max="50" width="9.6640625" bestFit="1" customWidth="1"/>
    <col min="51" max="51" width="20.1640625" bestFit="1" customWidth="1"/>
    <col min="52" max="52" width="11.6640625" bestFit="1" customWidth="1"/>
    <col min="53" max="53" width="22.1640625" bestFit="1" customWidth="1"/>
    <col min="54" max="55" width="12.1640625" bestFit="1" customWidth="1"/>
    <col min="56" max="56" width="14.6640625" bestFit="1" customWidth="1"/>
    <col min="57" max="57" width="21.6640625" bestFit="1" customWidth="1"/>
    <col min="58" max="58" width="12.6640625" bestFit="1" customWidth="1"/>
    <col min="59" max="59" width="13.6640625" bestFit="1" customWidth="1"/>
  </cols>
  <sheetData>
    <row r="1" spans="1:12" x14ac:dyDescent="0.2">
      <c r="A1" t="s">
        <v>74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s="5" t="s">
        <v>94</v>
      </c>
      <c r="L1" t="s">
        <v>98</v>
      </c>
    </row>
    <row r="2" spans="1:12" x14ac:dyDescent="0.2">
      <c r="A2">
        <v>2020</v>
      </c>
      <c r="B2">
        <v>2020</v>
      </c>
      <c r="C2" t="s">
        <v>49</v>
      </c>
      <c r="D2" t="s">
        <v>50</v>
      </c>
      <c r="E2" t="s">
        <v>52</v>
      </c>
      <c r="F2" t="s">
        <v>53</v>
      </c>
      <c r="G2" t="s">
        <v>54</v>
      </c>
      <c r="H2" t="s">
        <v>55</v>
      </c>
      <c r="I2" t="s">
        <v>58</v>
      </c>
      <c r="J2" s="1">
        <v>367980363479.68402</v>
      </c>
      <c r="K2" s="1">
        <v>367.980363479684</v>
      </c>
      <c r="L2">
        <v>-367.980363479684</v>
      </c>
    </row>
    <row r="3" spans="1:12" x14ac:dyDescent="0.2">
      <c r="A3">
        <v>2020</v>
      </c>
      <c r="B3">
        <v>2020</v>
      </c>
      <c r="C3" t="s">
        <v>49</v>
      </c>
      <c r="D3" t="s">
        <v>50</v>
      </c>
      <c r="E3" t="s">
        <v>64</v>
      </c>
      <c r="F3" t="s">
        <v>53</v>
      </c>
      <c r="G3" t="s">
        <v>54</v>
      </c>
      <c r="H3" t="s">
        <v>55</v>
      </c>
      <c r="I3" t="s">
        <v>58</v>
      </c>
      <c r="J3" s="1">
        <v>275488744927.54602</v>
      </c>
      <c r="K3" s="1">
        <v>275.48874492754601</v>
      </c>
      <c r="L3">
        <v>275.48874492754601</v>
      </c>
    </row>
    <row r="4" spans="1:12" x14ac:dyDescent="0.2">
      <c r="A4">
        <v>2021</v>
      </c>
      <c r="B4">
        <v>2021</v>
      </c>
      <c r="C4" t="s">
        <v>49</v>
      </c>
      <c r="D4" t="s">
        <v>50</v>
      </c>
      <c r="E4" t="s">
        <v>52</v>
      </c>
      <c r="F4" t="s">
        <v>53</v>
      </c>
      <c r="G4" t="s">
        <v>54</v>
      </c>
      <c r="H4" t="s">
        <v>55</v>
      </c>
      <c r="I4" t="s">
        <v>58</v>
      </c>
      <c r="J4" s="1">
        <v>570402004491.755</v>
      </c>
      <c r="K4" s="1">
        <v>570.40200449175495</v>
      </c>
      <c r="L4">
        <v>-570.40200449175495</v>
      </c>
    </row>
    <row r="5" spans="1:12" x14ac:dyDescent="0.2">
      <c r="A5">
        <v>2021</v>
      </c>
      <c r="B5">
        <v>2021</v>
      </c>
      <c r="C5" t="s">
        <v>49</v>
      </c>
      <c r="D5" t="s">
        <v>50</v>
      </c>
      <c r="E5" t="s">
        <v>64</v>
      </c>
      <c r="F5" t="s">
        <v>53</v>
      </c>
      <c r="G5" t="s">
        <v>54</v>
      </c>
      <c r="H5" t="s">
        <v>55</v>
      </c>
      <c r="I5" t="s">
        <v>58</v>
      </c>
      <c r="J5" s="1">
        <v>394813673347.297</v>
      </c>
      <c r="K5" s="1">
        <v>394.81367334729697</v>
      </c>
      <c r="L5">
        <v>394.81367334729697</v>
      </c>
    </row>
    <row r="6" spans="1:12" x14ac:dyDescent="0.2">
      <c r="A6">
        <v>2022</v>
      </c>
      <c r="B6">
        <v>2022</v>
      </c>
      <c r="C6" t="s">
        <v>49</v>
      </c>
      <c r="D6" t="s">
        <v>50</v>
      </c>
      <c r="E6" t="s">
        <v>52</v>
      </c>
      <c r="F6" t="s">
        <v>53</v>
      </c>
      <c r="G6" t="s">
        <v>54</v>
      </c>
      <c r="H6" t="s">
        <v>65</v>
      </c>
      <c r="I6" t="s">
        <v>58</v>
      </c>
      <c r="J6" s="1">
        <v>732565993392.92798</v>
      </c>
      <c r="K6" s="1">
        <v>732.56599339292802</v>
      </c>
      <c r="L6">
        <v>-732.56599339292802</v>
      </c>
    </row>
    <row r="7" spans="1:12" x14ac:dyDescent="0.2">
      <c r="A7">
        <v>2022</v>
      </c>
      <c r="B7">
        <v>2022</v>
      </c>
      <c r="C7" t="s">
        <v>49</v>
      </c>
      <c r="D7" t="s">
        <v>50</v>
      </c>
      <c r="E7" t="s">
        <v>64</v>
      </c>
      <c r="F7" t="s">
        <v>53</v>
      </c>
      <c r="G7" t="s">
        <v>54</v>
      </c>
      <c r="H7" t="s">
        <v>65</v>
      </c>
      <c r="I7" t="s">
        <v>58</v>
      </c>
      <c r="J7" s="1">
        <v>452684213646.74701</v>
      </c>
      <c r="K7" s="1">
        <v>452.68421364674703</v>
      </c>
      <c r="L7">
        <v>452.68421364674703</v>
      </c>
    </row>
    <row r="8" spans="1:12" x14ac:dyDescent="0.2">
      <c r="A8">
        <v>2023</v>
      </c>
      <c r="B8">
        <v>2023</v>
      </c>
      <c r="C8" t="s">
        <v>49</v>
      </c>
      <c r="D8" t="s">
        <v>50</v>
      </c>
      <c r="E8" t="s">
        <v>52</v>
      </c>
      <c r="F8" t="s">
        <v>53</v>
      </c>
      <c r="G8" t="s">
        <v>54</v>
      </c>
      <c r="H8" t="s">
        <v>65</v>
      </c>
      <c r="I8" t="s">
        <v>58</v>
      </c>
      <c r="J8" s="1">
        <v>672140129635.88196</v>
      </c>
      <c r="K8" s="1">
        <v>672.14012963588198</v>
      </c>
      <c r="L8">
        <v>-672.14012963588198</v>
      </c>
    </row>
    <row r="9" spans="1:12" x14ac:dyDescent="0.2">
      <c r="A9">
        <v>2023</v>
      </c>
      <c r="B9">
        <v>2023</v>
      </c>
      <c r="C9" t="s">
        <v>49</v>
      </c>
      <c r="D9" t="s">
        <v>50</v>
      </c>
      <c r="E9" t="s">
        <v>64</v>
      </c>
      <c r="F9" t="s">
        <v>53</v>
      </c>
      <c r="G9" t="s">
        <v>54</v>
      </c>
      <c r="H9" t="s">
        <v>65</v>
      </c>
      <c r="I9" t="s">
        <v>58</v>
      </c>
      <c r="J9" s="1">
        <v>431411977211.29999</v>
      </c>
      <c r="K9" s="1">
        <v>431.41197721129998</v>
      </c>
      <c r="L9">
        <v>431.41197721129998</v>
      </c>
    </row>
    <row r="10" spans="1:12" x14ac:dyDescent="0.2">
      <c r="A10">
        <v>2024</v>
      </c>
      <c r="B10">
        <v>2024</v>
      </c>
      <c r="C10" t="s">
        <v>49</v>
      </c>
      <c r="D10" t="s">
        <v>50</v>
      </c>
      <c r="E10" t="s">
        <v>52</v>
      </c>
      <c r="F10" t="s">
        <v>53</v>
      </c>
      <c r="G10" t="s">
        <v>54</v>
      </c>
      <c r="H10" t="s">
        <v>65</v>
      </c>
      <c r="I10" t="s">
        <v>58</v>
      </c>
      <c r="J10" s="1">
        <v>697745120144.98401</v>
      </c>
      <c r="K10" s="1">
        <v>697.74512014498396</v>
      </c>
      <c r="L10">
        <v>-697.74512014498396</v>
      </c>
    </row>
    <row r="11" spans="1:12" x14ac:dyDescent="0.2">
      <c r="A11">
        <v>2024</v>
      </c>
      <c r="B11">
        <v>2024</v>
      </c>
      <c r="C11" t="s">
        <v>49</v>
      </c>
      <c r="D11" t="s">
        <v>50</v>
      </c>
      <c r="E11" t="s">
        <v>64</v>
      </c>
      <c r="F11" t="s">
        <v>53</v>
      </c>
      <c r="G11" t="s">
        <v>54</v>
      </c>
      <c r="H11" t="s">
        <v>65</v>
      </c>
      <c r="I11" t="s">
        <v>58</v>
      </c>
      <c r="J11" s="1">
        <v>434435484213.94</v>
      </c>
      <c r="K11" s="1">
        <v>434.43548421394001</v>
      </c>
      <c r="L11">
        <v>434.43548421394001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7E84-63E3-0648-8363-0BE138D8CC9C}">
  <dimension ref="A1"/>
  <sheetViews>
    <sheetView workbookViewId="0">
      <selection activeCell="B7" sqref="B7"/>
    </sheetView>
  </sheetViews>
  <sheetFormatPr baseColWidth="10" defaultRowHeight="16" x14ac:dyDescent="0.2"/>
  <cols>
    <col min="1" max="1" width="26.1640625" bestFit="1" customWidth="1"/>
    <col min="2" max="2" width="16" bestFit="1" customWidth="1"/>
    <col min="3" max="3" width="8.33203125" bestFit="1" customWidth="1"/>
    <col min="4" max="4" width="10.5" bestFit="1" customWidth="1"/>
    <col min="5" max="5" width="28" bestFit="1" customWidth="1"/>
    <col min="6" max="6" width="30.6640625" bestFit="1" customWidth="1"/>
    <col min="7" max="7" width="32.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714C-F08E-574A-BE47-AECADBAFA3FB}">
  <dimension ref="A3:D10"/>
  <sheetViews>
    <sheetView workbookViewId="0">
      <selection activeCell="A3" sqref="A3:D10"/>
      <pivotSelection pane="bottomRight" showHeader="1" click="1" r:id="rId1">
        <pivotArea type="all" dataOnly="0" outline="0" fieldPosition="0"/>
      </pivotSelection>
    </sheetView>
  </sheetViews>
  <sheetFormatPr baseColWidth="10" defaultRowHeight="16" x14ac:dyDescent="0.2"/>
  <sheetData>
    <row r="3" spans="1:4" x14ac:dyDescent="0.2">
      <c r="A3" s="3" t="s">
        <v>99</v>
      </c>
      <c r="B3" s="3" t="s">
        <v>97</v>
      </c>
    </row>
    <row r="4" spans="1:4" x14ac:dyDescent="0.2">
      <c r="A4" s="3" t="s">
        <v>95</v>
      </c>
      <c r="B4" t="s">
        <v>64</v>
      </c>
      <c r="C4" t="s">
        <v>52</v>
      </c>
      <c r="D4" t="s">
        <v>96</v>
      </c>
    </row>
    <row r="5" spans="1:4" x14ac:dyDescent="0.2">
      <c r="A5" s="4">
        <v>2020</v>
      </c>
      <c r="B5" s="6">
        <v>275.48874492754601</v>
      </c>
      <c r="C5" s="6">
        <v>-367.980363479684</v>
      </c>
      <c r="D5" s="6">
        <v>-92.491618552137993</v>
      </c>
    </row>
    <row r="6" spans="1:4" x14ac:dyDescent="0.2">
      <c r="A6" s="4">
        <v>2021</v>
      </c>
      <c r="B6" s="6">
        <v>394.81367334729697</v>
      </c>
      <c r="C6" s="6">
        <v>-570.40200449175495</v>
      </c>
      <c r="D6" s="6">
        <v>-175.58833114445798</v>
      </c>
    </row>
    <row r="7" spans="1:4" x14ac:dyDescent="0.2">
      <c r="A7" s="4">
        <v>2022</v>
      </c>
      <c r="B7" s="6">
        <v>452.68421364674703</v>
      </c>
      <c r="C7" s="6">
        <v>-732.56599339292802</v>
      </c>
      <c r="D7" s="6">
        <v>-279.881779746181</v>
      </c>
    </row>
    <row r="8" spans="1:4" x14ac:dyDescent="0.2">
      <c r="A8" s="4">
        <v>2023</v>
      </c>
      <c r="B8" s="6">
        <v>431.41197721129998</v>
      </c>
      <c r="C8" s="6">
        <v>-672.14012963588198</v>
      </c>
      <c r="D8" s="6">
        <v>-240.72815242458199</v>
      </c>
    </row>
    <row r="9" spans="1:4" x14ac:dyDescent="0.2">
      <c r="A9" s="4">
        <v>2024</v>
      </c>
      <c r="B9" s="6">
        <v>434.43548421394001</v>
      </c>
      <c r="C9" s="6">
        <v>-697.74512014498396</v>
      </c>
      <c r="D9" s="6">
        <v>-263.30963593104394</v>
      </c>
    </row>
    <row r="10" spans="1:4" x14ac:dyDescent="0.2">
      <c r="A10" s="4" t="s">
        <v>96</v>
      </c>
      <c r="B10" s="6">
        <v>1988.8340933468298</v>
      </c>
      <c r="C10" s="6">
        <v>-3040.8336111452327</v>
      </c>
      <c r="D10" s="6">
        <v>-1051.9995177984028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45A4-BA21-614E-8385-458FDB6B501D}">
  <dimension ref="A3:B9"/>
  <sheetViews>
    <sheetView workbookViewId="0">
      <selection activeCell="G20" sqref="G20"/>
    </sheetView>
  </sheetViews>
  <sheetFormatPr baseColWidth="10" defaultRowHeight="16" x14ac:dyDescent="0.2"/>
  <cols>
    <col min="1" max="1" width="13" bestFit="1" customWidth="1"/>
    <col min="2" max="2" width="26.1640625" bestFit="1" customWidth="1"/>
    <col min="3" max="6" width="12.83203125" bestFit="1" customWidth="1"/>
    <col min="7" max="11" width="12.1640625" bestFit="1" customWidth="1"/>
    <col min="12" max="12" width="10.5" bestFit="1" customWidth="1"/>
  </cols>
  <sheetData>
    <row r="3" spans="1:2" x14ac:dyDescent="0.2">
      <c r="A3" s="3" t="s">
        <v>95</v>
      </c>
      <c r="B3" t="s">
        <v>99</v>
      </c>
    </row>
    <row r="4" spans="1:2" x14ac:dyDescent="0.2">
      <c r="A4" s="4">
        <v>2020</v>
      </c>
      <c r="B4" s="6">
        <v>-92.491618552137993</v>
      </c>
    </row>
    <row r="5" spans="1:2" x14ac:dyDescent="0.2">
      <c r="A5" s="4">
        <v>2021</v>
      </c>
      <c r="B5" s="6">
        <v>-175.58833114445798</v>
      </c>
    </row>
    <row r="6" spans="1:2" x14ac:dyDescent="0.2">
      <c r="A6" s="4">
        <v>2022</v>
      </c>
      <c r="B6" s="6">
        <v>-279.881779746181</v>
      </c>
    </row>
    <row r="7" spans="1:2" x14ac:dyDescent="0.2">
      <c r="A7" s="4">
        <v>2023</v>
      </c>
      <c r="B7" s="6">
        <v>-240.72815242458199</v>
      </c>
    </row>
    <row r="8" spans="1:2" x14ac:dyDescent="0.2">
      <c r="A8" s="4">
        <v>2024</v>
      </c>
      <c r="B8" s="6">
        <v>-263.30963593104394</v>
      </c>
    </row>
    <row r="9" spans="1:2" x14ac:dyDescent="0.2">
      <c r="A9" s="4" t="s">
        <v>96</v>
      </c>
      <c r="B9" s="6">
        <v>-1051.9995177984028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2C14B338-F5A6-EE4D-846A-4D627A360C9C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Data_Profile</vt:lpstr>
      <vt:lpstr>Business_Analysis</vt:lpstr>
      <vt:lpstr>Trade_Data_Clean</vt:lpstr>
      <vt:lpstr>Pivot_Trade_Flow</vt:lpstr>
      <vt:lpstr>Sheet1</vt:lpstr>
      <vt:lpstr>Pivot_Net_Trade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PRATHEEK P RAO - 251260260007 - MSCEMPL</dc:creator>
  <cp:lastModifiedBy>PRATHEEK P RAO - 251260260007 - MSCEMPL</cp:lastModifiedBy>
  <dcterms:created xsi:type="dcterms:W3CDTF">2026-09-05T18:11:14Z</dcterms:created>
  <dcterms:modified xsi:type="dcterms:W3CDTF">2026-09-11T17:03:49Z</dcterms:modified>
</cp:coreProperties>
</file>